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wissmedicalgroup-my.sharepoint.com/personal/electro_center2_swissmedical_com_ar/Documents/Investigación/2025/Investigacion/Mondis/DATALOGGER/"/>
    </mc:Choice>
  </mc:AlternateContent>
  <xr:revisionPtr revIDLastSave="39" documentId="8_{CF130E1C-D649-4FB3-BCEF-9A8DF3FC550D}" xr6:coauthVersionLast="47" xr6:coauthVersionMax="47" xr10:uidLastSave="{E8F05406-596D-4384-A81E-CF667DFA71D1}"/>
  <bookViews>
    <workbookView xWindow="-120" yWindow="-120" windowWidth="29040" windowHeight="15840" xr2:uid="{00000000-000D-0000-FFFF-FFFF00000000}"/>
  </bookViews>
  <sheets>
    <sheet name="Central de Monitoreo de Temp" sheetId="4" r:id="rId1"/>
    <sheet name="Hoja1" sheetId="5" r:id="rId2"/>
  </sheets>
  <definedNames>
    <definedName name="_xlnm.Print_Area" localSheetId="0">'Central de Monitoreo de Temp'!$A$1:$N$51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" i="4" l="1" a="1"/>
  <c r="N46" i="4" s="1"/>
  <c r="N49" i="4" a="1"/>
  <c r="N49" i="4" s="1"/>
  <c r="N43" i="4" a="1"/>
  <c r="N43" i="4" s="1"/>
  <c r="L43" i="4" a="1"/>
  <c r="L43" i="4" s="1"/>
  <c r="K43" i="4" l="1"/>
  <c r="J46" i="4"/>
  <c r="K46" i="4"/>
  <c r="L46" i="4"/>
  <c r="K49" i="4"/>
  <c r="L49" i="4"/>
  <c r="K32" i="4"/>
  <c r="J43" i="4" s="1"/>
  <c r="K33" i="4"/>
  <c r="K31" i="4"/>
  <c r="M43" i="4" l="1"/>
  <c r="M46" i="4"/>
  <c r="M49" i="4"/>
  <c r="J49" i="4"/>
  <c r="A2" i="5"/>
  <c r="B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<sst xmlns="http://schemas.openxmlformats.org/spreadsheetml/2006/main" count="95" uniqueCount="76">
  <si>
    <t>MANTENIMIENTO PREVENTIVO MONDIS</t>
  </si>
  <si>
    <t>IC-CTE-F421</t>
  </si>
  <si>
    <t>Versión:</t>
  </si>
  <si>
    <t>Vigencia</t>
  </si>
  <si>
    <t xml:space="preserve">Equipo: CEN-MON-DATCSL 
</t>
  </si>
  <si>
    <t>Modelo: Mondis - Ultrid-16</t>
  </si>
  <si>
    <t>Edificio:</t>
  </si>
  <si>
    <t>San Martin de tours 2980</t>
  </si>
  <si>
    <t>Sector:</t>
  </si>
  <si>
    <t>Laboratorio</t>
  </si>
  <si>
    <t>Ubicación:</t>
  </si>
  <si>
    <t>SS1 - 2 Piso</t>
  </si>
  <si>
    <t>N° serie:  VARIOS</t>
  </si>
  <si>
    <t xml:space="preserve">Marca:   lOGTAG               </t>
  </si>
  <si>
    <t>Fecha:</t>
  </si>
  <si>
    <t>Orden M:</t>
  </si>
  <si>
    <t>Realizó:</t>
  </si>
  <si>
    <t>Henry Salinas</t>
  </si>
  <si>
    <t>Instrumental utilizado</t>
  </si>
  <si>
    <t>Marca</t>
  </si>
  <si>
    <t>Modelo</t>
  </si>
  <si>
    <t>N° de serie</t>
  </si>
  <si>
    <t>Fecha Ult. Calibración</t>
  </si>
  <si>
    <t>Termómetro</t>
  </si>
  <si>
    <t>Madgetech</t>
  </si>
  <si>
    <t>OctTemp2000</t>
  </si>
  <si>
    <t>P93230</t>
  </si>
  <si>
    <t>Estado de valoración (marcar con X lo que corresponda)</t>
  </si>
  <si>
    <t>Inspección superada, el equipo es apto para el uso</t>
  </si>
  <si>
    <t>P</t>
  </si>
  <si>
    <t>El equipo ha necesitado reparación</t>
  </si>
  <si>
    <t>NA</t>
  </si>
  <si>
    <t>El equipo no está reparado. No se puede usar</t>
  </si>
  <si>
    <t>Comentarios:</t>
  </si>
  <si>
    <t>Puntos de inspección</t>
  </si>
  <si>
    <t>8.1</t>
  </si>
  <si>
    <t xml:space="preserve">Test de Inspección y Funcionalidad </t>
  </si>
  <si>
    <t>Marcar P (Pasó) o F (Falló) según corresponda</t>
  </si>
  <si>
    <t>8.1.1</t>
  </si>
  <si>
    <t>Sensores</t>
  </si>
  <si>
    <t>8.1.2</t>
  </si>
  <si>
    <t>Ubicación de los sensores</t>
  </si>
  <si>
    <t>8.1.3</t>
  </si>
  <si>
    <t>Vainas de sensores</t>
  </si>
  <si>
    <t>8.1.4</t>
  </si>
  <si>
    <t>Cables UTP</t>
  </si>
  <si>
    <t>8.1.5</t>
  </si>
  <si>
    <t>Interfaces LAN</t>
  </si>
  <si>
    <t>8.1.6</t>
  </si>
  <si>
    <t>Fuentes de alimentación</t>
  </si>
  <si>
    <t>8.2.1</t>
  </si>
  <si>
    <t>Características del termómetro patrón</t>
  </si>
  <si>
    <t>Error permitido</t>
  </si>
  <si>
    <t>Incertidumbre de calibración (Up) (Hasta -70°C)</t>
  </si>
  <si>
    <t>°C</t>
  </si>
  <si>
    <t>Incertidumbre de calibración (Up) (-20.10°C)</t>
  </si>
  <si>
    <t>Incertidumbre de calibración (Up) (29°C)</t>
  </si>
  <si>
    <t>Resolución (rp)</t>
  </si>
  <si>
    <t>8.2.2</t>
  </si>
  <si>
    <t>Características del termómetro a calibrar</t>
  </si>
  <si>
    <t>Error pèrmitido</t>
  </si>
  <si>
    <t>Resolución (rx)</t>
  </si>
  <si>
    <t>Ubicación Sensor</t>
  </si>
  <si>
    <t>Sensor</t>
  </si>
  <si>
    <t>Datalogger</t>
  </si>
  <si>
    <t>Patron</t>
  </si>
  <si>
    <t>Paso o fallo</t>
  </si>
  <si>
    <t>Incertidumbre combinada expandida (Uc)</t>
  </si>
  <si>
    <t>Error sistemático (ES)</t>
  </si>
  <si>
    <t>Error total en la medida del termómetro a calibrar (ETtx)</t>
  </si>
  <si>
    <t>Correccion</t>
  </si>
  <si>
    <t>Freezer 2</t>
  </si>
  <si>
    <t>Subsuelo</t>
  </si>
  <si>
    <t>Criofreezer</t>
  </si>
  <si>
    <t>PISO 2</t>
  </si>
  <si>
    <t>Heladera bajo mesada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</si>
</sst>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</font>
    <font>
      <sz val="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dashed">
        <color indexed="64"/>
      </diagonal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dashed">
        <color indexed="64"/>
      </diagonal>
    </border>
    <border diagonalUp="1">
      <left style="medium">
        <color indexed="64"/>
      </left>
      <right style="medium">
        <color indexed="64"/>
      </right>
      <top/>
      <bottom style="medium">
        <color indexed="64"/>
      </bottom>
      <diagonal style="dashed">
        <color indexed="64"/>
      </diagonal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 style="thin">
        <color indexed="64"/>
      </bottom>
      <diagonal style="dashed">
        <color indexed="64"/>
      </diagonal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dashed">
        <color indexed="64"/>
      </diagonal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7" fillId="0" borderId="2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/>
      <protection locked="0"/>
    </xf>
    <xf numFmtId="0" fontId="7" fillId="0" borderId="7" xfId="0" applyFont="1" applyBorder="1" applyAlignment="1" applyProtection="1">
      <alignment horizontal="center"/>
      <protection locked="0"/>
    </xf>
    <xf numFmtId="0" fontId="7" fillId="0" borderId="8" xfId="0" applyFont="1" applyBorder="1" applyAlignment="1" applyProtection="1">
      <alignment horizontal="center"/>
      <protection locked="0"/>
    </xf>
    <xf numFmtId="0" fontId="4" fillId="0" borderId="13" xfId="0" applyFont="1" applyBorder="1" applyAlignment="1" applyProtection="1">
      <alignment wrapText="1"/>
      <protection locked="0"/>
    </xf>
    <xf numFmtId="0" fontId="4" fillId="3" borderId="16" xfId="0" applyFont="1" applyFill="1" applyBorder="1" applyAlignment="1" applyProtection="1">
      <alignment horizontal="center" wrapText="1"/>
      <protection locked="0"/>
    </xf>
    <xf numFmtId="0" fontId="4" fillId="3" borderId="16" xfId="0" applyFont="1" applyFill="1" applyBorder="1" applyAlignment="1" applyProtection="1">
      <alignment horizontal="center"/>
      <protection locked="0"/>
    </xf>
    <xf numFmtId="0" fontId="3" fillId="0" borderId="18" xfId="0" applyFont="1" applyBorder="1" applyAlignment="1" applyProtection="1">
      <alignment horizontal="left" wrapText="1"/>
      <protection locked="0"/>
    </xf>
    <xf numFmtId="0" fontId="6" fillId="2" borderId="21" xfId="0" applyFont="1" applyFill="1" applyBorder="1" applyAlignment="1" applyProtection="1">
      <alignment horizontal="center"/>
      <protection locked="0"/>
    </xf>
    <xf numFmtId="0" fontId="6" fillId="2" borderId="21" xfId="0" applyFont="1" applyFill="1" applyBorder="1" applyProtection="1">
      <protection locked="0"/>
    </xf>
    <xf numFmtId="0" fontId="7" fillId="2" borderId="22" xfId="0" applyFont="1" applyFill="1" applyBorder="1" applyAlignment="1" applyProtection="1">
      <alignment horizontal="center"/>
      <protection locked="0"/>
    </xf>
    <xf numFmtId="0" fontId="7" fillId="2" borderId="31" xfId="0" applyFont="1" applyFill="1" applyBorder="1" applyAlignment="1" applyProtection="1">
      <alignment horizontal="center"/>
      <protection locked="0"/>
    </xf>
    <xf numFmtId="0" fontId="7" fillId="0" borderId="43" xfId="0" applyFont="1" applyBorder="1" applyAlignment="1" applyProtection="1">
      <alignment horizontal="center"/>
      <protection locked="0"/>
    </xf>
    <xf numFmtId="0" fontId="4" fillId="3" borderId="20" xfId="0" applyFont="1" applyFill="1" applyBorder="1" applyAlignment="1" applyProtection="1">
      <alignment horizontal="center" wrapText="1"/>
      <protection locked="0"/>
    </xf>
    <xf numFmtId="0" fontId="4" fillId="3" borderId="29" xfId="0" applyFont="1" applyFill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/>
      <protection locked="0"/>
    </xf>
    <xf numFmtId="0" fontId="7" fillId="0" borderId="19" xfId="0" applyFont="1" applyBorder="1" applyAlignment="1" applyProtection="1">
      <alignment horizontal="center"/>
      <protection locked="0"/>
    </xf>
    <xf numFmtId="0" fontId="0" fillId="0" borderId="3" xfId="0" applyBorder="1"/>
    <xf numFmtId="0" fontId="7" fillId="2" borderId="25" xfId="0" applyFont="1" applyFill="1" applyBorder="1" applyAlignment="1" applyProtection="1">
      <alignment horizontal="center"/>
      <protection locked="0"/>
    </xf>
    <xf numFmtId="0" fontId="7" fillId="2" borderId="14" xfId="0" applyFont="1" applyFill="1" applyBorder="1" applyAlignment="1" applyProtection="1">
      <alignment horizontal="center"/>
      <protection locked="0"/>
    </xf>
    <xf numFmtId="0" fontId="11" fillId="5" borderId="3" xfId="0" applyFont="1" applyFill="1" applyBorder="1" applyAlignment="1" applyProtection="1">
      <alignment horizontal="center" vertical="center" wrapText="1"/>
      <protection locked="0"/>
    </xf>
    <xf numFmtId="0" fontId="11" fillId="5" borderId="19" xfId="0" applyFont="1" applyFill="1" applyBorder="1" applyAlignment="1" applyProtection="1">
      <alignment horizontal="center" vertical="center" wrapText="1"/>
      <protection locked="0"/>
    </xf>
    <xf numFmtId="0" fontId="0" fillId="2" borderId="13" xfId="0" applyFill="1" applyBorder="1" applyAlignment="1" applyProtection="1">
      <alignment horizontal="center"/>
      <protection locked="0"/>
    </xf>
    <xf numFmtId="0" fontId="0" fillId="0" borderId="31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49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10" fillId="4" borderId="19" xfId="0" applyFont="1" applyFill="1" applyBorder="1" applyAlignment="1" applyProtection="1">
      <alignment vertical="center" wrapText="1"/>
      <protection locked="0"/>
    </xf>
    <xf numFmtId="0" fontId="7" fillId="7" borderId="0" xfId="0" applyFont="1" applyFill="1" applyAlignment="1" applyProtection="1">
      <alignment wrapText="1"/>
      <protection locked="0"/>
    </xf>
    <xf numFmtId="0" fontId="7" fillId="7" borderId="11" xfId="0" applyFont="1" applyFill="1" applyBorder="1" applyAlignment="1" applyProtection="1">
      <alignment wrapText="1"/>
      <protection locked="0"/>
    </xf>
    <xf numFmtId="0" fontId="7" fillId="7" borderId="12" xfId="0" applyFont="1" applyFill="1" applyBorder="1" applyAlignment="1" applyProtection="1">
      <alignment wrapText="1"/>
      <protection locked="0"/>
    </xf>
    <xf numFmtId="0" fontId="7" fillId="7" borderId="35" xfId="0" applyFont="1" applyFill="1" applyBorder="1" applyAlignment="1" applyProtection="1">
      <alignment wrapText="1"/>
      <protection locked="0"/>
    </xf>
    <xf numFmtId="0" fontId="7" fillId="7" borderId="36" xfId="0" applyFont="1" applyFill="1" applyBorder="1" applyAlignment="1" applyProtection="1">
      <alignment wrapText="1"/>
      <protection locked="0"/>
    </xf>
    <xf numFmtId="0" fontId="7" fillId="7" borderId="37" xfId="0" applyFont="1" applyFill="1" applyBorder="1" applyAlignment="1" applyProtection="1">
      <alignment wrapText="1"/>
      <protection locked="0"/>
    </xf>
    <xf numFmtId="0" fontId="4" fillId="0" borderId="45" xfId="0" applyFont="1" applyBorder="1" applyAlignment="1" applyProtection="1">
      <alignment wrapText="1"/>
      <protection locked="0"/>
    </xf>
    <xf numFmtId="17" fontId="3" fillId="0" borderId="46" xfId="0" applyNumberFormat="1" applyFont="1" applyBorder="1" applyAlignment="1" applyProtection="1">
      <alignment horizontal="left" wrapText="1"/>
      <protection locked="0"/>
    </xf>
    <xf numFmtId="0" fontId="7" fillId="7" borderId="9" xfId="0" applyFont="1" applyFill="1" applyBorder="1" applyAlignment="1" applyProtection="1">
      <alignment wrapText="1"/>
      <protection locked="0"/>
    </xf>
    <xf numFmtId="0" fontId="7" fillId="7" borderId="39" xfId="0" applyFont="1" applyFill="1" applyBorder="1" applyAlignment="1" applyProtection="1">
      <alignment wrapText="1"/>
      <protection locked="0"/>
    </xf>
    <xf numFmtId="0" fontId="7" fillId="7" borderId="10" xfId="0" applyFont="1" applyFill="1" applyBorder="1" applyAlignment="1" applyProtection="1">
      <alignment wrapText="1"/>
      <protection locked="0"/>
    </xf>
    <xf numFmtId="0" fontId="4" fillId="6" borderId="26" xfId="0" applyFont="1" applyFill="1" applyBorder="1" applyAlignment="1">
      <alignment horizontal="center" vertical="center"/>
    </xf>
    <xf numFmtId="0" fontId="4" fillId="6" borderId="48" xfId="0" applyFont="1" applyFill="1" applyBorder="1" applyAlignment="1">
      <alignment horizontal="center" vertical="center" wrapText="1"/>
    </xf>
    <xf numFmtId="0" fontId="4" fillId="6" borderId="27" xfId="0" applyFont="1" applyFill="1" applyBorder="1" applyAlignment="1">
      <alignment horizontal="center" vertical="center" wrapText="1"/>
    </xf>
    <xf numFmtId="0" fontId="0" fillId="6" borderId="12" xfId="0" applyFill="1" applyBorder="1" applyProtection="1">
      <protection locked="0"/>
    </xf>
    <xf numFmtId="0" fontId="0" fillId="6" borderId="37" xfId="0" applyFill="1" applyBorder="1" applyProtection="1">
      <protection locked="0"/>
    </xf>
    <xf numFmtId="0" fontId="0" fillId="6" borderId="0" xfId="0" applyFill="1" applyProtection="1">
      <protection locked="0"/>
    </xf>
    <xf numFmtId="0" fontId="0" fillId="6" borderId="36" xfId="0" applyFill="1" applyBorder="1" applyProtection="1">
      <protection locked="0"/>
    </xf>
    <xf numFmtId="0" fontId="7" fillId="0" borderId="34" xfId="0" applyFont="1" applyBorder="1" applyAlignment="1" applyProtection="1">
      <alignment horizontal="center"/>
      <protection locked="0"/>
    </xf>
    <xf numFmtId="0" fontId="7" fillId="2" borderId="28" xfId="0" applyFont="1" applyFill="1" applyBorder="1" applyAlignment="1" applyProtection="1">
      <alignment horizontal="center"/>
      <protection locked="0"/>
    </xf>
    <xf numFmtId="0" fontId="0" fillId="6" borderId="63" xfId="0" applyFill="1" applyBorder="1" applyProtection="1">
      <protection locked="0"/>
    </xf>
    <xf numFmtId="0" fontId="7" fillId="0" borderId="28" xfId="0" applyFont="1" applyBorder="1" applyAlignment="1" applyProtection="1">
      <alignment horizontal="center"/>
      <protection locked="0"/>
    </xf>
    <xf numFmtId="0" fontId="7" fillId="0" borderId="23" xfId="0" applyFont="1" applyBorder="1" applyAlignment="1" applyProtection="1">
      <alignment horizontal="center"/>
      <protection locked="0"/>
    </xf>
    <xf numFmtId="0" fontId="0" fillId="6" borderId="64" xfId="0" applyFill="1" applyBorder="1" applyProtection="1"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0" fillId="0" borderId="2" xfId="0" applyBorder="1"/>
    <xf numFmtId="0" fontId="0" fillId="0" borderId="1" xfId="0" applyBorder="1"/>
    <xf numFmtId="0" fontId="7" fillId="0" borderId="35" xfId="0" applyFont="1" applyBorder="1" applyAlignment="1" applyProtection="1">
      <alignment horizontal="center"/>
      <protection locked="0"/>
    </xf>
    <xf numFmtId="0" fontId="7" fillId="0" borderId="48" xfId="0" applyFont="1" applyBorder="1" applyAlignment="1" applyProtection="1">
      <alignment horizontal="center"/>
      <protection locked="0"/>
    </xf>
    <xf numFmtId="0" fontId="4" fillId="6" borderId="38" xfId="0" applyFont="1" applyFill="1" applyBorder="1" applyAlignment="1">
      <alignment horizontal="center"/>
    </xf>
    <xf numFmtId="0" fontId="4" fillId="3" borderId="32" xfId="0" applyFont="1" applyFill="1" applyBorder="1" applyAlignment="1" applyProtection="1">
      <alignment horizontal="center" wrapText="1"/>
      <protection locked="0"/>
    </xf>
    <xf numFmtId="0" fontId="7" fillId="0" borderId="54" xfId="0" applyFont="1" applyBorder="1" applyAlignment="1" applyProtection="1">
      <alignment horizontal="center" vertical="center" wrapText="1"/>
      <protection locked="0"/>
    </xf>
    <xf numFmtId="0" fontId="7" fillId="0" borderId="39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7" fillId="0" borderId="55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12" xfId="0" applyFont="1" applyBorder="1" applyAlignment="1" applyProtection="1">
      <alignment horizontal="center" vertical="center" wrapText="1"/>
      <protection locked="0"/>
    </xf>
    <xf numFmtId="0" fontId="7" fillId="0" borderId="56" xfId="0" applyFont="1" applyBorder="1" applyAlignment="1" applyProtection="1">
      <alignment horizontal="center" vertical="center" wrapText="1"/>
      <protection locked="0"/>
    </xf>
    <xf numFmtId="0" fontId="7" fillId="0" borderId="36" xfId="0" applyFont="1" applyBorder="1" applyAlignment="1" applyProtection="1">
      <alignment horizontal="center" vertical="center" wrapText="1"/>
      <protection locked="0"/>
    </xf>
    <xf numFmtId="0" fontId="7" fillId="0" borderId="37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4" fillId="6" borderId="11" xfId="0" applyFont="1" applyFill="1" applyBorder="1" applyAlignment="1" applyProtection="1">
      <alignment horizontal="center" vertical="center"/>
      <protection locked="0"/>
    </xf>
    <xf numFmtId="0" fontId="4" fillId="6" borderId="0" xfId="0" applyFont="1" applyFill="1" applyAlignment="1" applyProtection="1">
      <alignment horizontal="center" vertical="center"/>
      <protection locked="0"/>
    </xf>
    <xf numFmtId="0" fontId="4" fillId="6" borderId="35" xfId="0" applyFont="1" applyFill="1" applyBorder="1" applyAlignment="1" applyProtection="1">
      <alignment horizontal="center" vertical="center"/>
      <protection locked="0"/>
    </xf>
    <xf numFmtId="0" fontId="4" fillId="6" borderId="36" xfId="0" applyFont="1" applyFill="1" applyBorder="1" applyAlignment="1" applyProtection="1">
      <alignment horizontal="center" vertical="center"/>
      <protection locked="0"/>
    </xf>
    <xf numFmtId="0" fontId="0" fillId="0" borderId="38" xfId="0" applyBorder="1" applyAlignment="1" applyProtection="1">
      <alignment horizontal="center" vertical="center"/>
      <protection locked="0"/>
    </xf>
    <xf numFmtId="0" fontId="0" fillId="0" borderId="52" xfId="0" applyBorder="1" applyAlignment="1" applyProtection="1">
      <alignment horizontal="center" vertical="center"/>
      <protection locked="0"/>
    </xf>
    <xf numFmtId="0" fontId="0" fillId="0" borderId="40" xfId="0" applyBorder="1" applyAlignment="1" applyProtection="1">
      <alignment horizontal="center" vertical="center"/>
      <protection locked="0"/>
    </xf>
    <xf numFmtId="0" fontId="7" fillId="0" borderId="52" xfId="0" applyFont="1" applyBorder="1" applyAlignment="1" applyProtection="1">
      <alignment horizontal="center" vertical="center"/>
      <protection locked="0"/>
    </xf>
    <xf numFmtId="0" fontId="7" fillId="0" borderId="40" xfId="0" applyFont="1" applyBorder="1" applyAlignment="1" applyProtection="1">
      <alignment horizontal="center" vertical="center"/>
      <protection locked="0"/>
    </xf>
    <xf numFmtId="0" fontId="4" fillId="0" borderId="38" xfId="0" applyFont="1" applyBorder="1" applyAlignment="1" applyProtection="1">
      <alignment horizontal="center" vertical="center"/>
      <protection locked="0"/>
    </xf>
    <xf numFmtId="0" fontId="4" fillId="0" borderId="40" xfId="0" applyFont="1" applyBorder="1" applyAlignment="1" applyProtection="1">
      <alignment horizontal="center" vertical="center"/>
      <protection locked="0"/>
    </xf>
    <xf numFmtId="0" fontId="4" fillId="6" borderId="26" xfId="0" applyFont="1" applyFill="1" applyBorder="1" applyAlignment="1">
      <alignment horizontal="center" vertical="center"/>
    </xf>
    <xf numFmtId="0" fontId="4" fillId="6" borderId="27" xfId="0" applyFont="1" applyFill="1" applyBorder="1" applyAlignment="1">
      <alignment horizontal="center" vertical="center"/>
    </xf>
    <xf numFmtId="0" fontId="4" fillId="6" borderId="53" xfId="0" applyFont="1" applyFill="1" applyBorder="1" applyAlignment="1">
      <alignment horizontal="center" vertical="center"/>
    </xf>
    <xf numFmtId="0" fontId="7" fillId="0" borderId="54" xfId="0" applyFont="1" applyBorder="1" applyAlignment="1" applyProtection="1">
      <alignment horizontal="center" vertical="center"/>
      <protection locked="0"/>
    </xf>
    <xf numFmtId="0" fontId="7" fillId="0" borderId="39" xfId="0" applyFont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7" fillId="0" borderId="55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7" fillId="0" borderId="56" xfId="0" applyFont="1" applyBorder="1" applyAlignment="1" applyProtection="1">
      <alignment horizontal="center" vertical="center"/>
      <protection locked="0"/>
    </xf>
    <xf numFmtId="0" fontId="7" fillId="0" borderId="36" xfId="0" applyFont="1" applyBorder="1" applyAlignment="1" applyProtection="1">
      <alignment horizontal="center"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0" fillId="7" borderId="52" xfId="0" applyFill="1" applyBorder="1" applyAlignment="1" applyProtection="1">
      <alignment horizontal="center" vertical="center"/>
      <protection locked="0"/>
    </xf>
    <xf numFmtId="0" fontId="0" fillId="7" borderId="40" xfId="0" applyFill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wrapText="1"/>
      <protection locked="0"/>
    </xf>
    <xf numFmtId="0" fontId="9" fillId="0" borderId="10" xfId="0" applyFont="1" applyBorder="1" applyAlignment="1" applyProtection="1">
      <alignment horizontal="center" wrapText="1"/>
      <protection locked="0"/>
    </xf>
    <xf numFmtId="0" fontId="9" fillId="0" borderId="11" xfId="0" applyFont="1" applyBorder="1" applyAlignment="1" applyProtection="1">
      <alignment horizontal="center" wrapText="1"/>
      <protection locked="0"/>
    </xf>
    <xf numFmtId="0" fontId="9" fillId="0" borderId="12" xfId="0" applyFont="1" applyBorder="1" applyAlignment="1" applyProtection="1">
      <alignment horizontal="center" wrapText="1"/>
      <protection locked="0"/>
    </xf>
    <xf numFmtId="0" fontId="6" fillId="0" borderId="27" xfId="0" applyFont="1" applyBorder="1" applyAlignment="1" applyProtection="1">
      <alignment horizontal="center"/>
      <protection locked="0"/>
    </xf>
    <xf numFmtId="0" fontId="6" fillId="0" borderId="39" xfId="0" applyFont="1" applyBorder="1" applyAlignment="1" applyProtection="1">
      <alignment horizontal="center"/>
      <protection locked="0"/>
    </xf>
    <xf numFmtId="0" fontId="5" fillId="2" borderId="26" xfId="0" applyFont="1" applyFill="1" applyBorder="1" applyAlignment="1" applyProtection="1">
      <alignment horizont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7" fillId="0" borderId="47" xfId="0" applyFont="1" applyBorder="1" applyAlignment="1" applyProtection="1">
      <alignment horizontal="center" wrapText="1"/>
      <protection locked="0"/>
    </xf>
    <xf numFmtId="0" fontId="7" fillId="0" borderId="3" xfId="0" applyFont="1" applyBorder="1" applyAlignment="1" applyProtection="1">
      <alignment horizontal="center" wrapText="1"/>
      <protection locked="0"/>
    </xf>
    <xf numFmtId="0" fontId="10" fillId="4" borderId="47" xfId="0" applyFont="1" applyFill="1" applyBorder="1" applyAlignment="1" applyProtection="1">
      <alignment horizontal="center" vertical="center" wrapText="1"/>
      <protection locked="0"/>
    </xf>
    <xf numFmtId="0" fontId="10" fillId="4" borderId="58" xfId="0" applyFont="1" applyFill="1" applyBorder="1" applyAlignment="1" applyProtection="1">
      <alignment horizontal="center" vertical="center" wrapText="1"/>
      <protection locked="0"/>
    </xf>
    <xf numFmtId="0" fontId="10" fillId="4" borderId="3" xfId="0" applyFont="1" applyFill="1" applyBorder="1" applyAlignment="1" applyProtection="1">
      <alignment horizontal="center" vertical="center" wrapText="1"/>
      <protection locked="0"/>
    </xf>
    <xf numFmtId="0" fontId="10" fillId="4" borderId="19" xfId="0" applyFont="1" applyFill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7" fillId="0" borderId="60" xfId="0" applyFont="1" applyBorder="1" applyAlignment="1" applyProtection="1">
      <alignment horizontal="center" vertical="center" wrapText="1"/>
      <protection locked="0"/>
    </xf>
    <xf numFmtId="14" fontId="7" fillId="0" borderId="50" xfId="0" applyNumberFormat="1" applyFont="1" applyBorder="1" applyAlignment="1" applyProtection="1">
      <alignment horizontal="center" vertical="center" wrapText="1"/>
      <protection locked="0"/>
    </xf>
    <xf numFmtId="14" fontId="7" fillId="0" borderId="34" xfId="0" applyNumberFormat="1" applyFont="1" applyBorder="1" applyAlignment="1" applyProtection="1">
      <alignment horizontal="center" vertical="center" wrapText="1"/>
      <protection locked="0"/>
    </xf>
    <xf numFmtId="14" fontId="7" fillId="0" borderId="56" xfId="0" applyNumberFormat="1" applyFont="1" applyBorder="1" applyAlignment="1" applyProtection="1">
      <alignment horizontal="center" vertical="center" wrapText="1"/>
      <protection locked="0"/>
    </xf>
    <xf numFmtId="14" fontId="7" fillId="0" borderId="37" xfId="0" applyNumberFormat="1" applyFont="1" applyBorder="1" applyAlignment="1" applyProtection="1">
      <alignment horizontal="center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locked="0"/>
    </xf>
    <xf numFmtId="0" fontId="7" fillId="0" borderId="30" xfId="0" applyFont="1" applyBorder="1" applyAlignment="1" applyProtection="1">
      <alignment horizontal="center" vertical="center" wrapText="1"/>
      <protection locked="0"/>
    </xf>
    <xf numFmtId="0" fontId="7" fillId="0" borderId="35" xfId="0" applyFont="1" applyBorder="1" applyAlignment="1" applyProtection="1">
      <alignment horizontal="center" vertical="center" wrapText="1"/>
      <protection locked="0"/>
    </xf>
    <xf numFmtId="0" fontId="7" fillId="0" borderId="59" xfId="0" applyFont="1" applyBorder="1" applyAlignment="1" applyProtection="1">
      <alignment horizontal="center" vertical="center" wrapText="1"/>
      <protection locked="0"/>
    </xf>
    <xf numFmtId="49" fontId="2" fillId="0" borderId="9" xfId="0" applyNumberFormat="1" applyFont="1" applyBorder="1" applyAlignment="1" applyProtection="1">
      <alignment horizontal="center" vertical="center" wrapText="1"/>
      <protection locked="0"/>
    </xf>
    <xf numFmtId="49" fontId="2" fillId="0" borderId="39" xfId="0" applyNumberFormat="1" applyFont="1" applyBorder="1" applyAlignment="1" applyProtection="1">
      <alignment horizontal="center" vertical="center" wrapText="1"/>
      <protection locked="0"/>
    </xf>
    <xf numFmtId="49" fontId="2" fillId="0" borderId="10" xfId="0" applyNumberFormat="1" applyFont="1" applyBorder="1" applyAlignment="1" applyProtection="1">
      <alignment horizontal="center" vertical="center" wrapText="1"/>
      <protection locked="0"/>
    </xf>
    <xf numFmtId="49" fontId="2" fillId="0" borderId="11" xfId="0" applyNumberFormat="1" applyFont="1" applyBorder="1" applyAlignment="1" applyProtection="1">
      <alignment horizontal="center" vertical="center" wrapText="1"/>
      <protection locked="0"/>
    </xf>
    <xf numFmtId="49" fontId="2" fillId="0" borderId="0" xfId="0" applyNumberFormat="1" applyFont="1" applyAlignment="1" applyProtection="1">
      <alignment horizontal="center" vertical="center" wrapText="1"/>
      <protection locked="0"/>
    </xf>
    <xf numFmtId="49" fontId="2" fillId="0" borderId="12" xfId="0" applyNumberFormat="1" applyFont="1" applyBorder="1" applyAlignment="1" applyProtection="1">
      <alignment horizontal="center" vertical="center" wrapText="1"/>
      <protection locked="0"/>
    </xf>
    <xf numFmtId="49" fontId="2" fillId="0" borderId="35" xfId="0" applyNumberFormat="1" applyFont="1" applyBorder="1" applyAlignment="1" applyProtection="1">
      <alignment horizontal="center" vertical="center" wrapText="1"/>
      <protection locked="0"/>
    </xf>
    <xf numFmtId="49" fontId="2" fillId="0" borderId="36" xfId="0" applyNumberFormat="1" applyFont="1" applyBorder="1" applyAlignment="1" applyProtection="1">
      <alignment horizontal="center" vertical="center" wrapText="1"/>
      <protection locked="0"/>
    </xf>
    <xf numFmtId="49" fontId="2" fillId="0" borderId="37" xfId="0" applyNumberFormat="1" applyFont="1" applyBorder="1" applyAlignment="1" applyProtection="1">
      <alignment horizontal="center" vertical="center" wrapText="1"/>
      <protection locked="0"/>
    </xf>
    <xf numFmtId="0" fontId="4" fillId="3" borderId="44" xfId="0" applyFont="1" applyFill="1" applyBorder="1" applyAlignment="1" applyProtection="1">
      <alignment horizontal="center" wrapText="1"/>
      <protection locked="0"/>
    </xf>
    <xf numFmtId="0" fontId="4" fillId="3" borderId="15" xfId="0" applyFont="1" applyFill="1" applyBorder="1" applyAlignment="1" applyProtection="1">
      <alignment horizontal="center" wrapText="1"/>
      <protection locked="0"/>
    </xf>
    <xf numFmtId="0" fontId="4" fillId="3" borderId="13" xfId="0" applyFont="1" applyFill="1" applyBorder="1" applyAlignment="1" applyProtection="1">
      <alignment horizontal="center" wrapText="1"/>
      <protection locked="0"/>
    </xf>
    <xf numFmtId="0" fontId="4" fillId="3" borderId="20" xfId="0" applyFont="1" applyFill="1" applyBorder="1" applyAlignment="1" applyProtection="1">
      <alignment horizontal="center" wrapText="1"/>
      <protection locked="0"/>
    </xf>
    <xf numFmtId="14" fontId="7" fillId="0" borderId="3" xfId="0" applyNumberFormat="1" applyFont="1" applyBorder="1" applyAlignment="1" applyProtection="1">
      <alignment horizontal="center" wrapText="1"/>
      <protection locked="0"/>
    </xf>
    <xf numFmtId="14" fontId="7" fillId="0" borderId="5" xfId="0" applyNumberFormat="1" applyFont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/>
      <protection locked="0"/>
    </xf>
    <xf numFmtId="0" fontId="4" fillId="2" borderId="38" xfId="0" applyFont="1" applyFill="1" applyBorder="1" applyAlignment="1" applyProtection="1">
      <alignment horizontal="center" vertical="center"/>
      <protection locked="0"/>
    </xf>
    <xf numFmtId="0" fontId="4" fillId="2" borderId="40" xfId="0" applyFont="1" applyFill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61" xfId="0" applyFont="1" applyBorder="1" applyAlignment="1" applyProtection="1">
      <alignment horizont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0" fontId="0" fillId="2" borderId="38" xfId="0" applyFill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left"/>
      <protection locked="0"/>
    </xf>
    <xf numFmtId="0" fontId="6" fillId="0" borderId="3" xfId="0" applyFont="1" applyBorder="1" applyAlignment="1" applyProtection="1">
      <alignment horizontal="left"/>
      <protection locked="0"/>
    </xf>
    <xf numFmtId="0" fontId="6" fillId="0" borderId="19" xfId="0" applyFont="1" applyBorder="1" applyAlignment="1" applyProtection="1">
      <alignment horizontal="left"/>
      <protection locked="0"/>
    </xf>
    <xf numFmtId="0" fontId="6" fillId="0" borderId="13" xfId="0" applyFont="1" applyBorder="1" applyAlignment="1" applyProtection="1">
      <alignment horizontal="left"/>
      <protection locked="0"/>
    </xf>
    <xf numFmtId="0" fontId="6" fillId="0" borderId="20" xfId="0" applyFont="1" applyBorder="1" applyAlignment="1" applyProtection="1">
      <alignment horizontal="left"/>
      <protection locked="0"/>
    </xf>
    <xf numFmtId="0" fontId="6" fillId="0" borderId="18" xfId="0" applyFont="1" applyBorder="1" applyAlignment="1" applyProtection="1">
      <alignment horizontal="left"/>
      <protection locked="0"/>
    </xf>
    <xf numFmtId="0" fontId="6" fillId="0" borderId="45" xfId="0" applyFont="1" applyBorder="1" applyAlignment="1" applyProtection="1">
      <alignment horizontal="left"/>
      <protection locked="0"/>
    </xf>
    <xf numFmtId="0" fontId="6" fillId="0" borderId="5" xfId="0" applyFont="1" applyBorder="1" applyAlignment="1" applyProtection="1">
      <alignment horizontal="left"/>
      <protection locked="0"/>
    </xf>
    <xf numFmtId="0" fontId="6" fillId="0" borderId="46" xfId="0" applyFont="1" applyBorder="1" applyAlignment="1" applyProtection="1">
      <alignment horizontal="left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6" fillId="0" borderId="60" xfId="0" applyFont="1" applyBorder="1" applyAlignment="1" applyProtection="1">
      <alignment horizontal="center"/>
      <protection locked="0"/>
    </xf>
    <xf numFmtId="0" fontId="6" fillId="0" borderId="56" xfId="0" applyFont="1" applyBorder="1" applyAlignment="1" applyProtection="1">
      <alignment horizontal="center"/>
      <protection locked="0"/>
    </xf>
    <xf numFmtId="0" fontId="6" fillId="0" borderId="14" xfId="0" applyFont="1" applyBorder="1" applyAlignment="1" applyProtection="1">
      <alignment horizontal="center"/>
      <protection locked="0"/>
    </xf>
    <xf numFmtId="0" fontId="6" fillId="0" borderId="4" xfId="0" applyFont="1" applyBorder="1" applyAlignment="1" applyProtection="1">
      <alignment horizontal="center"/>
      <protection locked="0"/>
    </xf>
    <xf numFmtId="0" fontId="6" fillId="0" borderId="62" xfId="0" applyFont="1" applyBorder="1" applyAlignment="1" applyProtection="1">
      <alignment horizontal="center"/>
      <protection locked="0"/>
    </xf>
    <xf numFmtId="0" fontId="10" fillId="4" borderId="11" xfId="0" applyFont="1" applyFill="1" applyBorder="1" applyAlignment="1" applyProtection="1">
      <alignment horizontal="center" wrapText="1"/>
      <protection locked="0"/>
    </xf>
    <xf numFmtId="0" fontId="10" fillId="4" borderId="0" xfId="0" applyFont="1" applyFill="1" applyAlignment="1" applyProtection="1">
      <alignment horizontal="center" wrapText="1"/>
      <protection locked="0"/>
    </xf>
    <xf numFmtId="0" fontId="10" fillId="4" borderId="57" xfId="0" applyFont="1" applyFill="1" applyBorder="1" applyAlignment="1" applyProtection="1">
      <alignment horizontal="center" wrapText="1"/>
      <protection locked="0"/>
    </xf>
    <xf numFmtId="0" fontId="10" fillId="4" borderId="31" xfId="0" applyFont="1" applyFill="1" applyBorder="1" applyAlignment="1" applyProtection="1">
      <alignment horizontal="center" wrapText="1"/>
      <protection locked="0"/>
    </xf>
    <xf numFmtId="0" fontId="10" fillId="4" borderId="32" xfId="0" applyFont="1" applyFill="1" applyBorder="1" applyAlignment="1" applyProtection="1">
      <alignment horizontal="center" wrapText="1"/>
      <protection locked="0"/>
    </xf>
    <xf numFmtId="0" fontId="10" fillId="4" borderId="33" xfId="0" applyFont="1" applyFill="1" applyBorder="1" applyAlignment="1" applyProtection="1">
      <alignment horizontal="center" wrapText="1"/>
      <protection locked="0"/>
    </xf>
    <xf numFmtId="0" fontId="10" fillId="4" borderId="28" xfId="0" applyFont="1" applyFill="1" applyBorder="1" applyAlignment="1" applyProtection="1">
      <alignment horizontal="center" vertical="center"/>
      <protection locked="0"/>
    </xf>
    <xf numFmtId="0" fontId="10" fillId="4" borderId="29" xfId="0" applyFont="1" applyFill="1" applyBorder="1" applyAlignment="1" applyProtection="1">
      <alignment horizontal="center" vertical="center"/>
      <protection locked="0"/>
    </xf>
    <xf numFmtId="0" fontId="10" fillId="4" borderId="30" xfId="0" applyFont="1" applyFill="1" applyBorder="1" applyAlignment="1" applyProtection="1">
      <alignment horizontal="center" vertical="center"/>
      <protection locked="0"/>
    </xf>
    <xf numFmtId="0" fontId="10" fillId="4" borderId="11" xfId="0" applyFont="1" applyFill="1" applyBorder="1" applyAlignment="1" applyProtection="1">
      <alignment horizontal="center" vertical="center"/>
      <protection locked="0"/>
    </xf>
    <xf numFmtId="0" fontId="10" fillId="4" borderId="0" xfId="0" applyFont="1" applyFill="1" applyAlignment="1" applyProtection="1">
      <alignment horizontal="center" vertical="center"/>
      <protection locked="0"/>
    </xf>
    <xf numFmtId="0" fontId="10" fillId="4" borderId="57" xfId="0" applyFont="1" applyFill="1" applyBorder="1" applyAlignment="1" applyProtection="1">
      <alignment horizontal="center" vertical="center"/>
      <protection locked="0"/>
    </xf>
    <xf numFmtId="0" fontId="10" fillId="4" borderId="35" xfId="0" applyFont="1" applyFill="1" applyBorder="1" applyAlignment="1" applyProtection="1">
      <alignment horizontal="center" vertical="center"/>
      <protection locked="0"/>
    </xf>
    <xf numFmtId="0" fontId="10" fillId="4" borderId="36" xfId="0" applyFont="1" applyFill="1" applyBorder="1" applyAlignment="1" applyProtection="1">
      <alignment horizontal="center" vertical="center"/>
      <protection locked="0"/>
    </xf>
    <xf numFmtId="0" fontId="10" fillId="4" borderId="59" xfId="0" applyFont="1" applyFill="1" applyBorder="1" applyAlignment="1" applyProtection="1">
      <alignment horizontal="center" vertical="center"/>
      <protection locked="0"/>
    </xf>
    <xf numFmtId="0" fontId="10" fillId="4" borderId="50" xfId="0" applyFont="1" applyFill="1" applyBorder="1" applyAlignment="1" applyProtection="1">
      <alignment horizontal="center" vertical="center" wrapText="1"/>
      <protection locked="0"/>
    </xf>
    <xf numFmtId="0" fontId="10" fillId="4" borderId="30" xfId="0" applyFont="1" applyFill="1" applyBorder="1" applyAlignment="1" applyProtection="1">
      <alignment horizontal="center" vertical="center" wrapText="1"/>
      <protection locked="0"/>
    </xf>
    <xf numFmtId="0" fontId="10" fillId="4" borderId="55" xfId="0" applyFont="1" applyFill="1" applyBorder="1" applyAlignment="1" applyProtection="1">
      <alignment horizontal="center" vertical="center" wrapText="1"/>
      <protection locked="0"/>
    </xf>
    <xf numFmtId="0" fontId="10" fillId="4" borderId="57" xfId="0" applyFont="1" applyFill="1" applyBorder="1" applyAlignment="1" applyProtection="1">
      <alignment horizontal="center" vertical="center" wrapText="1"/>
      <protection locked="0"/>
    </xf>
    <xf numFmtId="0" fontId="10" fillId="4" borderId="56" xfId="0" applyFont="1" applyFill="1" applyBorder="1" applyAlignment="1" applyProtection="1">
      <alignment horizontal="center" vertical="center" wrapText="1"/>
      <protection locked="0"/>
    </xf>
    <xf numFmtId="0" fontId="10" fillId="4" borderId="59" xfId="0" applyFont="1" applyFill="1" applyBorder="1" applyAlignment="1" applyProtection="1">
      <alignment horizontal="center" vertical="center" wrapText="1"/>
      <protection locked="0"/>
    </xf>
    <xf numFmtId="0" fontId="6" fillId="0" borderId="23" xfId="0" applyFont="1" applyBorder="1" applyAlignment="1" applyProtection="1">
      <alignment vertical="center"/>
      <protection locked="0"/>
    </xf>
    <xf numFmtId="0" fontId="6" fillId="0" borderId="17" xfId="0" applyFont="1" applyBorder="1" applyAlignment="1" applyProtection="1">
      <alignment vertical="center"/>
      <protection locked="0"/>
    </xf>
    <xf numFmtId="0" fontId="4" fillId="6" borderId="13" xfId="0" applyFont="1" applyFill="1" applyBorder="1" applyAlignment="1" applyProtection="1">
      <alignment horizontal="center"/>
      <protection locked="0"/>
    </xf>
    <xf numFmtId="0" fontId="4" fillId="6" borderId="20" xfId="0" applyFont="1" applyFill="1" applyBorder="1" applyAlignment="1" applyProtection="1">
      <alignment horizontal="center"/>
      <protection locked="0"/>
    </xf>
    <xf numFmtId="0" fontId="4" fillId="6" borderId="44" xfId="0" applyFont="1" applyFill="1" applyBorder="1" applyAlignment="1" applyProtection="1">
      <alignment horizontal="center"/>
      <protection locked="0"/>
    </xf>
    <xf numFmtId="0" fontId="4" fillId="2" borderId="9" xfId="0" applyFont="1" applyFill="1" applyBorder="1" applyAlignment="1" applyProtection="1">
      <alignment horizontal="center"/>
      <protection locked="0"/>
    </xf>
    <xf numFmtId="0" fontId="4" fillId="2" borderId="39" xfId="0" applyFont="1" applyFill="1" applyBorder="1" applyAlignment="1" applyProtection="1">
      <alignment horizontal="center"/>
      <protection locked="0"/>
    </xf>
    <xf numFmtId="0" fontId="4" fillId="2" borderId="10" xfId="0" applyFont="1" applyFill="1" applyBorder="1" applyAlignment="1" applyProtection="1">
      <alignment horizontal="center"/>
      <protection locked="0"/>
    </xf>
    <xf numFmtId="0" fontId="4" fillId="2" borderId="35" xfId="0" applyFont="1" applyFill="1" applyBorder="1" applyAlignment="1" applyProtection="1">
      <alignment horizontal="center"/>
      <protection locked="0"/>
    </xf>
    <xf numFmtId="0" fontId="4" fillId="2" borderId="36" xfId="0" applyFont="1" applyFill="1" applyBorder="1" applyAlignment="1" applyProtection="1">
      <alignment horizontal="center"/>
      <protection locked="0"/>
    </xf>
    <xf numFmtId="0" fontId="4" fillId="2" borderId="37" xfId="0" applyFont="1" applyFill="1" applyBorder="1" applyAlignment="1" applyProtection="1">
      <alignment horizontal="center"/>
      <protection locked="0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6" fillId="0" borderId="22" xfId="0" applyFont="1" applyBorder="1" applyAlignment="1" applyProtection="1">
      <protection locked="0"/>
    </xf>
    <xf numFmtId="0" fontId="6" fillId="0" borderId="15" xfId="0" applyFont="1" applyBorder="1" applyAlignment="1" applyProtection="1">
      <protection locked="0"/>
    </xf>
    <xf numFmtId="0" fontId="6" fillId="0" borderId="24" xfId="0" applyFont="1" applyBorder="1" applyAlignment="1" applyProtection="1">
      <protection locked="0"/>
    </xf>
    <xf numFmtId="0" fontId="6" fillId="0" borderId="16" xfId="0" applyFont="1" applyBorder="1" applyAlignment="1" applyProtection="1">
      <protection locked="0"/>
    </xf>
    <xf numFmtId="0" fontId="6" fillId="2" borderId="41" xfId="0" applyFont="1" applyFill="1" applyBorder="1" applyAlignment="1" applyProtection="1">
      <protection locked="0"/>
    </xf>
    <xf numFmtId="0" fontId="6" fillId="2" borderId="42" xfId="0" applyFont="1" applyFill="1" applyBorder="1" applyAlignment="1" applyProtection="1">
      <protection locked="0"/>
    </xf>
  </cellXfs>
  <cellStyles count="1">
    <cellStyle name="Normal" xfId="0" builtinId="0"/>
  </cellStyles>
  <dxfs count="17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indexed="62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indexed="62"/>
      </font>
    </dxf>
    <dxf>
      <font>
        <color rgb="FF00B050"/>
      </font>
    </dxf>
    <dxf>
      <font>
        <color rgb="FFFF0000"/>
      </font>
    </dxf>
    <dxf>
      <font>
        <condense val="0"/>
        <extend val="0"/>
        <color indexed="62"/>
      </font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b val="0"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condense val="0"/>
        <extend val="0"/>
        <color auto="1"/>
      </font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466725</xdr:colOff>
      <xdr:row>10</xdr:row>
      <xdr:rowOff>38100</xdr:rowOff>
    </xdr:from>
    <xdr:to>
      <xdr:col>9</xdr:col>
      <xdr:colOff>228600</xdr:colOff>
      <xdr:row>12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D4CF0C-E06A-49ED-9703-201160C2F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48525" y="1771650"/>
          <a:ext cx="1285875" cy="42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51"/>
  <sheetViews>
    <sheetView tabSelected="1" topLeftCell="A35" workbookViewId="0">
      <selection activeCell="B46" sqref="B46:G48"/>
    </sheetView>
  </sheetViews>
  <sheetFormatPr defaultColWidth="11.42578125" defaultRowHeight="12.75"/>
  <cols>
    <col min="1" max="1" width="25.42578125" bestFit="1" customWidth="1"/>
    <col min="4" max="4" width="39" customWidth="1"/>
    <col min="5" max="5" width="10.85546875" bestFit="1" customWidth="1"/>
    <col min="6" max="6" width="1.28515625" hidden="1" customWidth="1"/>
    <col min="7" max="7" width="10.5703125" bestFit="1" customWidth="1"/>
    <col min="8" max="10" width="11.42578125" customWidth="1"/>
    <col min="11" max="11" width="14.85546875" customWidth="1"/>
    <col min="12" max="12" width="12" bestFit="1" customWidth="1"/>
    <col min="13" max="13" width="16.7109375" customWidth="1"/>
  </cols>
  <sheetData>
    <row r="1" spans="1:10" ht="12.75" customHeight="1">
      <c r="A1" s="126" t="s">
        <v>0</v>
      </c>
      <c r="B1" s="127"/>
      <c r="C1" s="127"/>
      <c r="D1" s="127"/>
      <c r="E1" s="127"/>
      <c r="F1" s="127"/>
      <c r="G1" s="127"/>
      <c r="H1" s="128"/>
      <c r="I1" s="102" t="s">
        <v>1</v>
      </c>
      <c r="J1" s="103"/>
    </row>
    <row r="2" spans="1:10" ht="12.75" customHeight="1" thickBot="1">
      <c r="A2" s="129"/>
      <c r="B2" s="130"/>
      <c r="C2" s="130"/>
      <c r="D2" s="130"/>
      <c r="E2" s="130"/>
      <c r="F2" s="130"/>
      <c r="G2" s="130"/>
      <c r="H2" s="131"/>
      <c r="I2" s="104"/>
      <c r="J2" s="105"/>
    </row>
    <row r="3" spans="1:10" ht="18" customHeight="1">
      <c r="A3" s="129"/>
      <c r="B3" s="130"/>
      <c r="C3" s="130"/>
      <c r="D3" s="130"/>
      <c r="E3" s="130"/>
      <c r="F3" s="130"/>
      <c r="G3" s="130"/>
      <c r="H3" s="131"/>
      <c r="I3" s="5" t="s">
        <v>2</v>
      </c>
      <c r="J3" s="8">
        <v>2</v>
      </c>
    </row>
    <row r="4" spans="1:10" ht="16.5" thickBot="1">
      <c r="A4" s="132"/>
      <c r="B4" s="133"/>
      <c r="C4" s="133"/>
      <c r="D4" s="133"/>
      <c r="E4" s="133"/>
      <c r="F4" s="133"/>
      <c r="G4" s="133"/>
      <c r="H4" s="134"/>
      <c r="I4" s="40" t="s">
        <v>3</v>
      </c>
      <c r="J4" s="41">
        <v>45541</v>
      </c>
    </row>
    <row r="5" spans="1:10" ht="12.75" customHeight="1">
      <c r="A5" s="165" t="s">
        <v>4</v>
      </c>
      <c r="B5" s="166"/>
      <c r="C5" s="167"/>
      <c r="D5" s="112" t="s">
        <v>5</v>
      </c>
      <c r="E5" s="112"/>
      <c r="F5" s="113"/>
      <c r="G5" s="64" t="s">
        <v>6</v>
      </c>
      <c r="H5" s="110" t="s">
        <v>7</v>
      </c>
      <c r="I5" s="111"/>
      <c r="J5" s="111"/>
    </row>
    <row r="6" spans="1:10" ht="12.75" customHeight="1">
      <c r="A6" s="165"/>
      <c r="B6" s="166"/>
      <c r="C6" s="167"/>
      <c r="D6" s="112"/>
      <c r="E6" s="112"/>
      <c r="F6" s="113"/>
      <c r="G6" s="6" t="s">
        <v>8</v>
      </c>
      <c r="H6" s="111" t="s">
        <v>9</v>
      </c>
      <c r="I6" s="111"/>
      <c r="J6" s="111"/>
    </row>
    <row r="7" spans="1:10" ht="12.75" customHeight="1">
      <c r="A7" s="168"/>
      <c r="B7" s="169"/>
      <c r="C7" s="170"/>
      <c r="D7" s="114"/>
      <c r="E7" s="114"/>
      <c r="F7" s="115"/>
      <c r="G7" s="6" t="s">
        <v>10</v>
      </c>
      <c r="H7" s="111" t="s">
        <v>11</v>
      </c>
      <c r="I7" s="111"/>
      <c r="J7" s="111"/>
    </row>
    <row r="8" spans="1:10" ht="12.75" customHeight="1">
      <c r="A8" s="171" t="s">
        <v>12</v>
      </c>
      <c r="B8" s="172"/>
      <c r="C8" s="173"/>
      <c r="D8" s="180" t="s">
        <v>13</v>
      </c>
      <c r="E8" s="181"/>
      <c r="F8" s="33"/>
      <c r="G8" s="7" t="s">
        <v>14</v>
      </c>
      <c r="H8" s="139">
        <v>45799</v>
      </c>
      <c r="I8" s="111"/>
      <c r="J8" s="111"/>
    </row>
    <row r="9" spans="1:10" ht="12.75" customHeight="1">
      <c r="A9" s="174"/>
      <c r="B9" s="175"/>
      <c r="C9" s="176"/>
      <c r="D9" s="182"/>
      <c r="E9" s="183"/>
      <c r="F9" s="33"/>
      <c r="G9" s="7" t="s">
        <v>15</v>
      </c>
      <c r="H9" s="111"/>
      <c r="I9" s="111"/>
      <c r="J9" s="111"/>
    </row>
    <row r="10" spans="1:10" ht="12.75" customHeight="1" thickBot="1">
      <c r="A10" s="177"/>
      <c r="B10" s="178"/>
      <c r="C10" s="179"/>
      <c r="D10" s="184"/>
      <c r="E10" s="185"/>
      <c r="F10" s="33"/>
      <c r="G10" s="15" t="s">
        <v>16</v>
      </c>
      <c r="H10" s="140" t="s">
        <v>17</v>
      </c>
      <c r="I10" s="141"/>
      <c r="J10" s="141"/>
    </row>
    <row r="11" spans="1:10" ht="12.75" customHeight="1">
      <c r="A11" s="137" t="s">
        <v>18</v>
      </c>
      <c r="B11" s="138"/>
      <c r="C11" s="14" t="s">
        <v>19</v>
      </c>
      <c r="D11" s="14" t="s">
        <v>20</v>
      </c>
      <c r="E11" s="14" t="s">
        <v>21</v>
      </c>
      <c r="F11" s="135" t="s">
        <v>22</v>
      </c>
      <c r="G11" s="136"/>
      <c r="H11" s="42"/>
      <c r="I11" s="43"/>
      <c r="J11" s="44"/>
    </row>
    <row r="12" spans="1:10" ht="12.75" customHeight="1">
      <c r="A12" s="122" t="s">
        <v>23</v>
      </c>
      <c r="B12" s="123"/>
      <c r="C12" s="116" t="s">
        <v>24</v>
      </c>
      <c r="D12" s="116" t="s">
        <v>25</v>
      </c>
      <c r="E12" s="116" t="s">
        <v>26</v>
      </c>
      <c r="F12" s="118">
        <v>45762</v>
      </c>
      <c r="G12" s="119"/>
      <c r="H12" s="35"/>
      <c r="I12" s="34"/>
      <c r="J12" s="36"/>
    </row>
    <row r="13" spans="1:10" ht="13.5" thickBot="1">
      <c r="A13" s="124"/>
      <c r="B13" s="125"/>
      <c r="C13" s="117"/>
      <c r="D13" s="117"/>
      <c r="E13" s="117"/>
      <c r="F13" s="120"/>
      <c r="G13" s="121"/>
      <c r="H13" s="37"/>
      <c r="I13" s="38"/>
      <c r="J13" s="39"/>
    </row>
    <row r="14" spans="1:10" ht="13.5" thickBot="1">
      <c r="A14" s="108" t="s">
        <v>27</v>
      </c>
      <c r="B14" s="109"/>
      <c r="C14" s="109"/>
      <c r="D14" s="109"/>
      <c r="E14" s="109"/>
      <c r="F14" s="109"/>
      <c r="G14" s="109"/>
      <c r="H14" s="109"/>
      <c r="I14" s="109"/>
      <c r="J14" s="9"/>
    </row>
    <row r="15" spans="1:10">
      <c r="A15" s="200" t="s">
        <v>28</v>
      </c>
      <c r="B15" s="201"/>
      <c r="C15" s="201"/>
      <c r="D15" s="201"/>
      <c r="E15" s="201"/>
      <c r="F15" s="201"/>
      <c r="G15" s="201"/>
      <c r="H15" s="201"/>
      <c r="I15" s="201"/>
      <c r="J15" s="4" t="s">
        <v>29</v>
      </c>
    </row>
    <row r="16" spans="1:10">
      <c r="A16" s="202" t="s">
        <v>30</v>
      </c>
      <c r="B16" s="203"/>
      <c r="C16" s="203"/>
      <c r="D16" s="203"/>
      <c r="E16" s="203"/>
      <c r="F16" s="203"/>
      <c r="G16" s="203"/>
      <c r="H16" s="203"/>
      <c r="I16" s="203"/>
      <c r="J16" s="1" t="s">
        <v>31</v>
      </c>
    </row>
    <row r="17" spans="1:29" ht="12.75" customHeight="1">
      <c r="A17" s="202" t="s">
        <v>32</v>
      </c>
      <c r="B17" s="203"/>
      <c r="C17" s="203"/>
      <c r="D17" s="203"/>
      <c r="E17" s="203"/>
      <c r="F17" s="203"/>
      <c r="G17" s="203"/>
      <c r="H17" s="203"/>
      <c r="I17" s="203"/>
      <c r="J17" s="1" t="s">
        <v>31</v>
      </c>
    </row>
    <row r="18" spans="1:29" ht="13.5" thickBot="1">
      <c r="A18" s="186" t="s">
        <v>33</v>
      </c>
      <c r="B18" s="187"/>
      <c r="C18" s="187"/>
      <c r="D18" s="187"/>
      <c r="E18" s="187"/>
      <c r="F18" s="187"/>
      <c r="G18" s="187"/>
      <c r="H18" s="187"/>
      <c r="I18" s="187"/>
      <c r="J18" s="1" t="s">
        <v>31</v>
      </c>
    </row>
    <row r="19" spans="1:29" ht="13.5" thickBot="1">
      <c r="A19" s="106"/>
      <c r="B19" s="106"/>
      <c r="C19" s="106"/>
      <c r="D19" s="106"/>
      <c r="E19" s="106"/>
      <c r="F19" s="106"/>
      <c r="G19" s="106"/>
      <c r="H19" s="106"/>
      <c r="I19" s="106"/>
      <c r="J19" s="106"/>
    </row>
    <row r="20" spans="1:29" ht="13.5" thickBot="1">
      <c r="A20" s="108" t="s">
        <v>34</v>
      </c>
      <c r="B20" s="109"/>
      <c r="C20" s="109"/>
      <c r="D20" s="109"/>
      <c r="E20" s="109"/>
      <c r="F20" s="109"/>
      <c r="G20" s="109"/>
      <c r="H20" s="109"/>
      <c r="I20" s="109"/>
      <c r="J20" s="10"/>
    </row>
    <row r="21" spans="1:29" ht="13.5" thickBot="1">
      <c r="A21" s="106"/>
      <c r="B21" s="107"/>
      <c r="C21" s="107"/>
      <c r="D21" s="107"/>
      <c r="E21" s="107"/>
      <c r="F21" s="107"/>
      <c r="G21" s="107"/>
      <c r="H21" s="107"/>
      <c r="I21" s="107"/>
      <c r="J21" s="107"/>
    </row>
    <row r="22" spans="1:29">
      <c r="A22" s="142" t="s">
        <v>35</v>
      </c>
      <c r="B22" s="191" t="s">
        <v>36</v>
      </c>
      <c r="C22" s="192"/>
      <c r="D22" s="192"/>
      <c r="E22" s="192"/>
      <c r="F22" s="192"/>
      <c r="G22" s="192"/>
      <c r="H22" s="192"/>
      <c r="I22" s="193"/>
      <c r="J22" s="204"/>
    </row>
    <row r="23" spans="1:29" ht="13.5" thickBot="1">
      <c r="A23" s="143"/>
      <c r="B23" s="194" t="s">
        <v>37</v>
      </c>
      <c r="C23" s="195"/>
      <c r="D23" s="195"/>
      <c r="E23" s="195"/>
      <c r="F23" s="195"/>
      <c r="G23" s="195"/>
      <c r="H23" s="195"/>
      <c r="I23" s="196"/>
      <c r="J23" s="205"/>
    </row>
    <row r="24" spans="1:29">
      <c r="A24" s="11" t="s">
        <v>38</v>
      </c>
      <c r="B24" s="153" t="s">
        <v>39</v>
      </c>
      <c r="C24" s="154"/>
      <c r="D24" s="154"/>
      <c r="E24" s="154"/>
      <c r="F24" s="154"/>
      <c r="G24" s="154"/>
      <c r="H24" s="154"/>
      <c r="I24" s="155"/>
      <c r="J24" s="2" t="s">
        <v>29</v>
      </c>
    </row>
    <row r="25" spans="1:29">
      <c r="A25" s="12" t="s">
        <v>40</v>
      </c>
      <c r="B25" s="150" t="s">
        <v>41</v>
      </c>
      <c r="C25" s="151"/>
      <c r="D25" s="151"/>
      <c r="E25" s="151"/>
      <c r="F25" s="151"/>
      <c r="G25" s="151"/>
      <c r="H25" s="151"/>
      <c r="I25" s="152"/>
      <c r="J25" s="13" t="s">
        <v>29</v>
      </c>
    </row>
    <row r="26" spans="1:29">
      <c r="A26" s="12" t="s">
        <v>42</v>
      </c>
      <c r="B26" s="150" t="s">
        <v>43</v>
      </c>
      <c r="C26" s="151"/>
      <c r="D26" s="151"/>
      <c r="E26" s="151"/>
      <c r="F26" s="151"/>
      <c r="G26" s="151"/>
      <c r="H26" s="151"/>
      <c r="I26" s="152"/>
      <c r="J26" s="13" t="s">
        <v>29</v>
      </c>
      <c r="AA26" s="18"/>
      <c r="AB26" s="18"/>
      <c r="AC26" s="18"/>
    </row>
    <row r="27" spans="1:29">
      <c r="A27" s="12" t="s">
        <v>44</v>
      </c>
      <c r="B27" s="150" t="s">
        <v>45</v>
      </c>
      <c r="C27" s="151"/>
      <c r="D27" s="151"/>
      <c r="E27" s="151"/>
      <c r="F27" s="151"/>
      <c r="G27" s="151"/>
      <c r="H27" s="151"/>
      <c r="I27" s="152"/>
      <c r="J27" s="3" t="s">
        <v>31</v>
      </c>
      <c r="AA27" s="18"/>
      <c r="AB27" s="18"/>
      <c r="AC27" s="18"/>
    </row>
    <row r="28" spans="1:29">
      <c r="A28" s="12" t="s">
        <v>46</v>
      </c>
      <c r="B28" s="150" t="s">
        <v>47</v>
      </c>
      <c r="C28" s="151"/>
      <c r="D28" s="151"/>
      <c r="E28" s="151"/>
      <c r="F28" s="151"/>
      <c r="G28" s="151"/>
      <c r="H28" s="151"/>
      <c r="I28" s="152"/>
      <c r="J28" s="3" t="s">
        <v>31</v>
      </c>
      <c r="AA28" s="18"/>
      <c r="AB28" s="18"/>
      <c r="AC28" s="18"/>
    </row>
    <row r="29" spans="1:29" ht="13.5" thickBot="1">
      <c r="A29" s="53" t="s">
        <v>48</v>
      </c>
      <c r="B29" s="156" t="s">
        <v>49</v>
      </c>
      <c r="C29" s="157"/>
      <c r="D29" s="157"/>
      <c r="E29" s="157"/>
      <c r="F29" s="157"/>
      <c r="G29" s="157"/>
      <c r="H29" s="157"/>
      <c r="I29" s="158"/>
      <c r="J29" s="52" t="s">
        <v>31</v>
      </c>
      <c r="AA29" s="18"/>
      <c r="AB29" s="18"/>
      <c r="AC29" s="18"/>
    </row>
    <row r="30" spans="1:29">
      <c r="A30" s="149" t="s">
        <v>50</v>
      </c>
      <c r="B30" s="188" t="s">
        <v>51</v>
      </c>
      <c r="C30" s="189"/>
      <c r="D30" s="189"/>
      <c r="E30" s="189"/>
      <c r="F30" s="189"/>
      <c r="G30" s="189"/>
      <c r="H30" s="190"/>
      <c r="I30" s="54"/>
      <c r="J30" s="57"/>
      <c r="K30" s="63" t="s">
        <v>52</v>
      </c>
      <c r="AA30" s="18"/>
      <c r="AB30" s="18"/>
      <c r="AC30" s="18"/>
    </row>
    <row r="31" spans="1:29">
      <c r="A31" s="147"/>
      <c r="B31" s="144" t="s">
        <v>53</v>
      </c>
      <c r="C31" s="145"/>
      <c r="D31" s="145"/>
      <c r="E31" s="145"/>
      <c r="F31" s="145"/>
      <c r="G31" s="145"/>
      <c r="H31" s="146"/>
      <c r="I31" s="55">
        <v>0.18</v>
      </c>
      <c r="J31" s="1" t="s">
        <v>54</v>
      </c>
      <c r="K31" s="59">
        <f>$I$40+I31</f>
        <v>2.1800000000000002</v>
      </c>
      <c r="AA31" s="18"/>
      <c r="AB31" s="18"/>
      <c r="AC31" s="18"/>
    </row>
    <row r="32" spans="1:29">
      <c r="A32" s="147"/>
      <c r="B32" s="144" t="s">
        <v>55</v>
      </c>
      <c r="C32" s="145"/>
      <c r="D32" s="145"/>
      <c r="E32" s="145"/>
      <c r="F32" s="145"/>
      <c r="G32" s="145"/>
      <c r="H32" s="146"/>
      <c r="I32" s="55">
        <v>0.14000000000000001</v>
      </c>
      <c r="J32" s="1" t="s">
        <v>54</v>
      </c>
      <c r="K32" s="59">
        <f t="shared" ref="K32:K33" si="0">$I$40+I32</f>
        <v>2.14</v>
      </c>
      <c r="AA32" s="18"/>
      <c r="AB32" s="18"/>
      <c r="AC32" s="18"/>
    </row>
    <row r="33" spans="1:29" ht="13.5" thickBot="1">
      <c r="A33" s="147"/>
      <c r="B33" s="162" t="s">
        <v>56</v>
      </c>
      <c r="C33" s="163"/>
      <c r="D33" s="163"/>
      <c r="E33" s="163"/>
      <c r="F33" s="163"/>
      <c r="G33" s="163"/>
      <c r="H33" s="164"/>
      <c r="I33" s="56">
        <v>0.11</v>
      </c>
      <c r="J33" s="58" t="s">
        <v>54</v>
      </c>
      <c r="K33" s="60">
        <f t="shared" si="0"/>
        <v>2.11</v>
      </c>
      <c r="AA33" s="18"/>
      <c r="AB33" s="18"/>
      <c r="AC33" s="18"/>
    </row>
    <row r="34" spans="1:29" ht="13.5" thickBot="1">
      <c r="A34" s="148"/>
      <c r="B34" s="159" t="s">
        <v>57</v>
      </c>
      <c r="C34" s="160"/>
      <c r="D34" s="160"/>
      <c r="E34" s="160"/>
      <c r="F34" s="160"/>
      <c r="G34" s="160"/>
      <c r="H34" s="161"/>
      <c r="I34" s="61">
        <v>0.01</v>
      </c>
      <c r="J34" s="62" t="s">
        <v>54</v>
      </c>
      <c r="AA34" s="18"/>
      <c r="AB34" s="18"/>
      <c r="AC34" s="18"/>
    </row>
    <row r="35" spans="1:29">
      <c r="A35" s="147" t="s">
        <v>58</v>
      </c>
      <c r="B35" s="76" t="s">
        <v>59</v>
      </c>
      <c r="C35" s="77"/>
      <c r="D35" s="77"/>
      <c r="E35" s="77"/>
      <c r="F35" s="77"/>
      <c r="G35" s="77"/>
      <c r="H35" s="77"/>
      <c r="I35" s="50"/>
      <c r="J35" s="48"/>
      <c r="AA35" s="18"/>
      <c r="AB35" s="18"/>
      <c r="AC35" s="18"/>
    </row>
    <row r="36" spans="1:29">
      <c r="A36" s="147"/>
      <c r="B36" s="76"/>
      <c r="C36" s="77"/>
      <c r="D36" s="77"/>
      <c r="E36" s="77"/>
      <c r="F36" s="77"/>
      <c r="G36" s="77"/>
      <c r="H36" s="77"/>
      <c r="I36" s="50"/>
      <c r="J36" s="48"/>
      <c r="AA36" s="18"/>
      <c r="AB36" s="18"/>
      <c r="AC36" s="18"/>
    </row>
    <row r="37" spans="1:29" ht="13.5" thickBot="1">
      <c r="A37" s="147"/>
      <c r="B37" s="78"/>
      <c r="C37" s="79"/>
      <c r="D37" s="79"/>
      <c r="E37" s="79"/>
      <c r="F37" s="79"/>
      <c r="G37" s="79"/>
      <c r="H37" s="79"/>
      <c r="I37" s="51"/>
      <c r="J37" s="49"/>
      <c r="AA37" s="18"/>
      <c r="AB37" s="18"/>
      <c r="AC37" s="18"/>
    </row>
    <row r="38" spans="1:29">
      <c r="A38" s="147"/>
      <c r="B38" s="74" t="s">
        <v>60</v>
      </c>
      <c r="C38" s="74"/>
      <c r="D38" s="74"/>
      <c r="E38" s="74"/>
      <c r="F38" s="74"/>
      <c r="G38" s="74"/>
      <c r="H38" s="74"/>
      <c r="I38" s="99">
        <v>3</v>
      </c>
      <c r="J38" s="85" t="s">
        <v>54</v>
      </c>
      <c r="AA38" s="18"/>
      <c r="AB38" s="18"/>
      <c r="AC38" s="18"/>
    </row>
    <row r="39" spans="1:29" ht="13.5" thickBot="1">
      <c r="A39" s="147"/>
      <c r="B39" s="75"/>
      <c r="C39" s="75"/>
      <c r="D39" s="75"/>
      <c r="E39" s="75"/>
      <c r="F39" s="75"/>
      <c r="G39" s="75"/>
      <c r="H39" s="75"/>
      <c r="I39" s="100"/>
      <c r="J39" s="86"/>
      <c r="AA39" s="18"/>
      <c r="AB39" s="18"/>
      <c r="AC39" s="18"/>
    </row>
    <row r="40" spans="1:29">
      <c r="A40" s="147"/>
      <c r="B40" s="74" t="s">
        <v>61</v>
      </c>
      <c r="C40" s="74"/>
      <c r="D40" s="74"/>
      <c r="E40" s="74"/>
      <c r="F40" s="74"/>
      <c r="G40" s="74"/>
      <c r="H40" s="74"/>
      <c r="I40" s="83">
        <v>2</v>
      </c>
      <c r="J40" s="85" t="s">
        <v>54</v>
      </c>
      <c r="AA40" s="18"/>
      <c r="AB40" s="18"/>
      <c r="AC40" s="18"/>
    </row>
    <row r="41" spans="1:29" ht="13.5" thickBot="1">
      <c r="A41" s="148"/>
      <c r="B41" s="75"/>
      <c r="C41" s="75"/>
      <c r="D41" s="75"/>
      <c r="E41" s="75"/>
      <c r="F41" s="75"/>
      <c r="G41" s="75"/>
      <c r="H41" s="75"/>
      <c r="I41" s="84"/>
      <c r="J41" s="86"/>
      <c r="AA41" s="18"/>
      <c r="AB41" s="18"/>
      <c r="AC41" s="18"/>
    </row>
    <row r="42" spans="1:29" ht="51.75" thickBot="1">
      <c r="A42" s="45" t="s">
        <v>62</v>
      </c>
      <c r="B42" s="87" t="s">
        <v>63</v>
      </c>
      <c r="C42" s="88"/>
      <c r="D42" s="88"/>
      <c r="E42" s="88"/>
      <c r="F42" s="88"/>
      <c r="G42" s="89"/>
      <c r="H42" s="46" t="s">
        <v>64</v>
      </c>
      <c r="I42" s="46" t="s">
        <v>65</v>
      </c>
      <c r="J42" s="47" t="s">
        <v>66</v>
      </c>
      <c r="K42" s="46" t="s">
        <v>67</v>
      </c>
      <c r="L42" s="46" t="s">
        <v>68</v>
      </c>
      <c r="M42" s="46" t="s">
        <v>69</v>
      </c>
      <c r="N42" s="46" t="s">
        <v>70</v>
      </c>
      <c r="AA42" s="18"/>
      <c r="AB42" s="18"/>
      <c r="AC42" s="18"/>
    </row>
    <row r="43" spans="1:29" ht="13.5" customHeight="1">
      <c r="A43" s="23" t="s">
        <v>9</v>
      </c>
      <c r="B43" s="90">
        <v>6045102581</v>
      </c>
      <c r="C43" s="91"/>
      <c r="D43" s="91"/>
      <c r="E43" s="91"/>
      <c r="F43" s="91"/>
      <c r="G43" s="92"/>
      <c r="H43" s="31">
        <v>21.8</v>
      </c>
      <c r="I43" s="31">
        <v>19.89</v>
      </c>
      <c r="J43" s="80" t="str">
        <f>IF(ABS(AVERAGE(H43:H45) - AVERAGE(I43:I45)) &lt;= $K$32, "Paso", "Fallo")</f>
        <v>Paso</v>
      </c>
      <c r="K43" s="101">
        <f>2*SQRT(_xlfn.STDEV.S(H43:H45)^2+_xlfn.STDEV.S(I43:I45)^2+0.084*$I$34^2+0.084*$I$40^2+0.25*$I$32^2)</f>
        <v>2.2608332387271135</v>
      </c>
      <c r="L43" s="101" cm="1">
        <f t="array" ref="L43">AVERAGE(H43:H45-I43:I45)</f>
        <v>1.1033333333333342</v>
      </c>
      <c r="M43" s="101">
        <f>ABS(K43+L43)</f>
        <v>3.3641665720604479</v>
      </c>
      <c r="N43" s="197" cm="1">
        <f t="array" ref="N43">AVERAGE(I43:I45-H43:H45)</f>
        <v>-1.1033333333333342</v>
      </c>
      <c r="AA43" s="18"/>
      <c r="AB43" s="18"/>
      <c r="AC43" s="18"/>
    </row>
    <row r="44" spans="1:29" ht="13.5" customHeight="1">
      <c r="A44" s="19" t="s">
        <v>71</v>
      </c>
      <c r="B44" s="93"/>
      <c r="C44" s="94"/>
      <c r="D44" s="94"/>
      <c r="E44" s="94"/>
      <c r="F44" s="94"/>
      <c r="G44" s="95"/>
      <c r="H44" s="29">
        <v>21.8</v>
      </c>
      <c r="I44" s="29">
        <v>21.77</v>
      </c>
      <c r="J44" s="81"/>
      <c r="K44" s="83"/>
      <c r="L44" s="83"/>
      <c r="M44" s="83"/>
      <c r="N44" s="198"/>
      <c r="AA44" s="18"/>
      <c r="AB44" s="18"/>
      <c r="AC44" s="18"/>
    </row>
    <row r="45" spans="1:29" ht="13.5" thickBot="1">
      <c r="A45" s="20" t="s">
        <v>72</v>
      </c>
      <c r="B45" s="96"/>
      <c r="C45" s="97"/>
      <c r="D45" s="97"/>
      <c r="E45" s="97"/>
      <c r="F45" s="97"/>
      <c r="G45" s="98"/>
      <c r="H45" s="32">
        <v>21.8</v>
      </c>
      <c r="I45" s="32">
        <v>20.43</v>
      </c>
      <c r="J45" s="82"/>
      <c r="K45" s="84"/>
      <c r="L45" s="84"/>
      <c r="M45" s="84"/>
      <c r="N45" s="199"/>
      <c r="AA45" s="18"/>
      <c r="AB45" s="18"/>
      <c r="AC45" s="18"/>
    </row>
    <row r="46" spans="1:29">
      <c r="A46" s="23" t="s">
        <v>9</v>
      </c>
      <c r="B46" s="90">
        <v>94555582</v>
      </c>
      <c r="C46" s="91"/>
      <c r="D46" s="91"/>
      <c r="E46" s="91"/>
      <c r="F46" s="91"/>
      <c r="G46" s="92"/>
      <c r="H46" s="31">
        <v>5</v>
      </c>
      <c r="I46" s="27">
        <v>5.97</v>
      </c>
      <c r="J46" s="80" t="str">
        <f t="shared" ref="J46" si="1">IF(ABS(AVERAGE(H46:H48) - AVERAGE(I46:I48)) &lt;= $K$32, "Paso", "Fallo")</f>
        <v>Paso</v>
      </c>
      <c r="K46" s="101">
        <f>2*SQRT(_xlfn.STDEV.S(H46:H48)^2+_xlfn.STDEV.S(I46:I48)^2+0.084*$I$34^2+0.084*$I$40^2+0.25*$I$32^2)</f>
        <v>1.901727355151982</v>
      </c>
      <c r="L46" s="101">
        <f>ABS(AVERAGE(H46:H48)-AVERAGE(I46:I48))</f>
        <v>0.88333333333333286</v>
      </c>
      <c r="M46" s="101">
        <f>ABS(K46+L46)</f>
        <v>2.7850606884853146</v>
      </c>
      <c r="N46" s="197" cm="1">
        <f t="array" ref="N46">AVERAGE(I46:I48-H46:H48)</f>
        <v>0.88333333333333319</v>
      </c>
      <c r="AA46" s="18"/>
      <c r="AB46" s="18"/>
      <c r="AC46" s="18"/>
    </row>
    <row r="47" spans="1:29">
      <c r="A47" s="19" t="s">
        <v>73</v>
      </c>
      <c r="B47" s="93"/>
      <c r="C47" s="94"/>
      <c r="D47" s="94"/>
      <c r="E47" s="94"/>
      <c r="F47" s="94"/>
      <c r="G47" s="95"/>
      <c r="H47" s="29">
        <v>4.9000000000000004</v>
      </c>
      <c r="I47" s="25">
        <v>5.0999999999999996</v>
      </c>
      <c r="J47" s="81"/>
      <c r="K47" s="83"/>
      <c r="L47" s="83"/>
      <c r="M47" s="83"/>
      <c r="N47" s="198"/>
      <c r="AA47" s="18"/>
      <c r="AB47" s="18"/>
      <c r="AC47" s="18"/>
    </row>
    <row r="48" spans="1:29" ht="13.5" thickBot="1">
      <c r="A48" s="20" t="s">
        <v>74</v>
      </c>
      <c r="B48" s="96"/>
      <c r="C48" s="97"/>
      <c r="D48" s="97"/>
      <c r="E48" s="97"/>
      <c r="F48" s="97"/>
      <c r="G48" s="98"/>
      <c r="H48" s="30">
        <v>5.0999999999999996</v>
      </c>
      <c r="I48" s="26">
        <v>6.58</v>
      </c>
      <c r="J48" s="82"/>
      <c r="K48" s="84"/>
      <c r="L48" s="84"/>
      <c r="M48" s="84"/>
      <c r="N48" s="199"/>
      <c r="AA48" s="18"/>
      <c r="AB48" s="18"/>
      <c r="AC48" s="18"/>
    </row>
    <row r="49" spans="1:29" ht="13.5" customHeight="1">
      <c r="A49" s="23" t="s">
        <v>9</v>
      </c>
      <c r="B49" s="65">
        <v>6045102406</v>
      </c>
      <c r="C49" s="66"/>
      <c r="D49" s="66"/>
      <c r="E49" s="66"/>
      <c r="F49" s="66"/>
      <c r="G49" s="67"/>
      <c r="H49" s="28">
        <v>4.9000000000000004</v>
      </c>
      <c r="I49" s="24">
        <v>4.99</v>
      </c>
      <c r="J49" s="80" t="str">
        <f t="shared" ref="J49" si="2">IF(ABS(AVERAGE(H49:H51) - AVERAGE(I49:I51)) &lt;= $K$32, "Paso", "Fallo")</f>
        <v>Paso</v>
      </c>
      <c r="K49" s="101">
        <f>2*SQRT(_xlfn.STDEV.S(H49:H51)^2+_xlfn.STDEV.S(I49:I51)^2+0.084*$I$34^2+0.084*$I$40^2+0.25*$I$31^2)</f>
        <v>1.7286315204037366</v>
      </c>
      <c r="L49" s="101">
        <f>ABS(AVERAGE(H49:H51)-AVERAGE(I49:I51))</f>
        <v>0.72333333333333272</v>
      </c>
      <c r="M49" s="101">
        <f>ABS(K49+L49)</f>
        <v>2.4519648537370693</v>
      </c>
      <c r="N49" s="197" cm="1">
        <f t="array" ref="N49">AVERAGE(I49:I51-H49:H51)</f>
        <v>0.72333333333333327</v>
      </c>
      <c r="AA49" s="18"/>
      <c r="AB49" s="18"/>
      <c r="AC49" s="18"/>
    </row>
    <row r="50" spans="1:29" ht="13.5" customHeight="1">
      <c r="A50" s="19" t="s">
        <v>75</v>
      </c>
      <c r="B50" s="68"/>
      <c r="C50" s="69"/>
      <c r="D50" s="69"/>
      <c r="E50" s="69"/>
      <c r="F50" s="69"/>
      <c r="G50" s="70"/>
      <c r="H50" s="29">
        <v>4.0999999999999996</v>
      </c>
      <c r="I50" s="25">
        <v>5.13</v>
      </c>
      <c r="J50" s="81"/>
      <c r="K50" s="83"/>
      <c r="L50" s="83"/>
      <c r="M50" s="83"/>
      <c r="N50" s="198"/>
      <c r="AA50" s="18"/>
      <c r="AB50" s="18"/>
      <c r="AC50" s="18"/>
    </row>
    <row r="51" spans="1:29" ht="13.5" thickBot="1">
      <c r="A51" s="20" t="s">
        <v>74</v>
      </c>
      <c r="B51" s="71"/>
      <c r="C51" s="72"/>
      <c r="D51" s="72"/>
      <c r="E51" s="72"/>
      <c r="F51" s="72"/>
      <c r="G51" s="73"/>
      <c r="H51" s="30">
        <v>4.8</v>
      </c>
      <c r="I51" s="26">
        <v>5.85</v>
      </c>
      <c r="J51" s="82"/>
      <c r="K51" s="84"/>
      <c r="L51" s="84"/>
      <c r="M51" s="84"/>
      <c r="N51" s="199"/>
      <c r="AA51" s="18"/>
      <c r="AB51" s="18"/>
      <c r="AC51" s="18"/>
    </row>
  </sheetData>
  <sheetProtection selectLockedCells="1" selectUnlockedCells="1"/>
  <mergeCells count="70">
    <mergeCell ref="N43:N45"/>
    <mergeCell ref="N46:N48"/>
    <mergeCell ref="N49:N51"/>
    <mergeCell ref="L43:L45"/>
    <mergeCell ref="M43:M45"/>
    <mergeCell ref="L49:L51"/>
    <mergeCell ref="A5:C7"/>
    <mergeCell ref="A8:C10"/>
    <mergeCell ref="D8:E10"/>
    <mergeCell ref="A18:I18"/>
    <mergeCell ref="B30:H30"/>
    <mergeCell ref="A15:I15"/>
    <mergeCell ref="A16:I16"/>
    <mergeCell ref="A17:I17"/>
    <mergeCell ref="H7:J7"/>
    <mergeCell ref="B22:I22"/>
    <mergeCell ref="B23:I23"/>
    <mergeCell ref="H9:J9"/>
    <mergeCell ref="A35:A41"/>
    <mergeCell ref="A30:A34"/>
    <mergeCell ref="B25:I25"/>
    <mergeCell ref="B24:I24"/>
    <mergeCell ref="B26:I26"/>
    <mergeCell ref="B27:I27"/>
    <mergeCell ref="B28:I28"/>
    <mergeCell ref="B29:I29"/>
    <mergeCell ref="B34:H34"/>
    <mergeCell ref="B40:H41"/>
    <mergeCell ref="B32:H32"/>
    <mergeCell ref="B33:H33"/>
    <mergeCell ref="D12:D13"/>
    <mergeCell ref="C12:C13"/>
    <mergeCell ref="A22:A23"/>
    <mergeCell ref="A14:I14"/>
    <mergeCell ref="B31:H31"/>
    <mergeCell ref="I1:J2"/>
    <mergeCell ref="A21:J21"/>
    <mergeCell ref="A19:J19"/>
    <mergeCell ref="A20:I20"/>
    <mergeCell ref="J22:J23"/>
    <mergeCell ref="H5:J5"/>
    <mergeCell ref="D5:F7"/>
    <mergeCell ref="E12:E13"/>
    <mergeCell ref="F12:G13"/>
    <mergeCell ref="A12:B13"/>
    <mergeCell ref="A1:H4"/>
    <mergeCell ref="H6:J6"/>
    <mergeCell ref="F11:G11"/>
    <mergeCell ref="A11:B11"/>
    <mergeCell ref="H8:J8"/>
    <mergeCell ref="H10:J10"/>
    <mergeCell ref="K46:K48"/>
    <mergeCell ref="K43:K45"/>
    <mergeCell ref="L46:L48"/>
    <mergeCell ref="M46:M48"/>
    <mergeCell ref="J49:J51"/>
    <mergeCell ref="M49:M51"/>
    <mergeCell ref="K49:K51"/>
    <mergeCell ref="B49:G51"/>
    <mergeCell ref="B38:H39"/>
    <mergeCell ref="B35:H37"/>
    <mergeCell ref="J43:J45"/>
    <mergeCell ref="I40:I41"/>
    <mergeCell ref="J40:J41"/>
    <mergeCell ref="B42:G42"/>
    <mergeCell ref="J46:J48"/>
    <mergeCell ref="J38:J39"/>
    <mergeCell ref="B46:G48"/>
    <mergeCell ref="B43:G45"/>
    <mergeCell ref="I38:I39"/>
  </mergeCells>
  <phoneticPr fontId="1" type="noConversion"/>
  <conditionalFormatting sqref="I42:J42">
    <cfRule type="expression" dxfId="16" priority="49" stopIfTrue="1">
      <formula>I42="P"</formula>
    </cfRule>
  </conditionalFormatting>
  <conditionalFormatting sqref="J15 I31:J33">
    <cfRule type="expression" dxfId="15" priority="50" stopIfTrue="1">
      <formula>I15="X"</formula>
    </cfRule>
  </conditionalFormatting>
  <conditionalFormatting sqref="J16:J18">
    <cfRule type="expression" dxfId="14" priority="51" stopIfTrue="1">
      <formula>J16="X"</formula>
    </cfRule>
    <cfRule type="expression" dxfId="13" priority="52" stopIfTrue="1">
      <formula>J16=" "</formula>
    </cfRule>
  </conditionalFormatting>
  <conditionalFormatting sqref="J24:J29">
    <cfRule type="expression" dxfId="12" priority="41" stopIfTrue="1">
      <formula>J24="F"</formula>
    </cfRule>
    <cfRule type="expression" dxfId="11" priority="42" stopIfTrue="1">
      <formula>J24="P"</formula>
    </cfRule>
  </conditionalFormatting>
  <conditionalFormatting sqref="I34:J34">
    <cfRule type="expression" dxfId="10" priority="27" stopIfTrue="1">
      <formula>I34="X"</formula>
    </cfRule>
    <cfRule type="expression" dxfId="9" priority="28" stopIfTrue="1">
      <formula>I34=" "</formula>
    </cfRule>
  </conditionalFormatting>
  <conditionalFormatting sqref="J40">
    <cfRule type="expression" dxfId="8" priority="25" stopIfTrue="1">
      <formula>J40="X"</formula>
    </cfRule>
  </conditionalFormatting>
  <conditionalFormatting sqref="J43:J51">
    <cfRule type="containsText" dxfId="7" priority="8" operator="containsText" text="Fallo">
      <formula>NOT(ISERROR(SEARCH("Fallo",J43)))</formula>
    </cfRule>
    <cfRule type="containsText" dxfId="6" priority="23" operator="containsText" text="Paso">
      <formula>NOT(ISERROR(SEARCH("Paso",J43)))</formula>
    </cfRule>
  </conditionalFormatting>
  <conditionalFormatting sqref="I40">
    <cfRule type="expression" dxfId="5" priority="7" stopIfTrue="1">
      <formula>I40="X"</formula>
    </cfRule>
  </conditionalFormatting>
  <conditionalFormatting sqref="M43 M49 M46">
    <cfRule type="expression" dxfId="4" priority="53" stopIfTrue="1">
      <formula>AND($I$45="Ambiental (2 °C)",#REF!&gt;2)</formula>
    </cfRule>
    <cfRule type="expression" dxfId="3" priority="54" stopIfTrue="1">
      <formula>AND($I$45="Laboratorio (1 °C)",#REF!&gt;1)</formula>
    </cfRule>
  </conditionalFormatting>
  <conditionalFormatting sqref="J38">
    <cfRule type="expression" dxfId="2" priority="5" stopIfTrue="1">
      <formula>J38="X"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294" scale="45" fitToHeight="6" orientation="portrait" r:id="rId1"/>
  <headerFooter alignWithMargins="0">
    <oddFooter>&amp;RPágina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ColWidth="11.42578125" defaultRowHeight="12.75"/>
  <sheetData>
    <row r="1" spans="1:2" ht="76.5">
      <c r="A1" s="21" t="s">
        <v>68</v>
      </c>
      <c r="B1" s="22" t="s">
        <v>69</v>
      </c>
    </row>
    <row r="2" spans="1:2">
      <c r="A2" s="16" t="e">
        <f>ABS(AVERAGE(Hoja1!H37:H39)-AVERAGE(Hoja1!I37:I39))</f>
        <v>#DIV/0!</v>
      </c>
      <c r="B2" s="17" t="e">
        <f>ABS(#REF!+A2)</f>
        <v>#REF!</v>
      </c>
    </row>
  </sheetData>
  <conditionalFormatting sqref="B2">
    <cfRule type="expression" dxfId="1" priority="1" stopIfTrue="1">
      <formula>AND($I$42="Ambiental (2 °C)",$I$50&gt;2)</formula>
    </cfRule>
    <cfRule type="expression" dxfId="0" priority="2" stopIfTrue="1">
      <formula>AND($I$42="Laboratorio (1 °C)",$I$50&gt;1)</formula>
    </cfRule>
  </conditionalFormatting>
  <pageMargins left="0.7" right="0.7" top="0.75" bottom="0.75" header="0.3" footer="0.3"/>
  <pageSetup paperSize="271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B755E73B090C40A88DB86340752691" ma:contentTypeVersion="0" ma:contentTypeDescription="Crear nuevo documento." ma:contentTypeScope="" ma:versionID="10bf156469c628dca8fdf464c9eca03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bba8a198e9bb40c3eeca6d0bd41257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6C5E0A-757C-4CFB-AEF8-61E54ADF4B13}"/>
</file>

<file path=customXml/itemProps2.xml><?xml version="1.0" encoding="utf-8"?>
<ds:datastoreItem xmlns:ds="http://schemas.openxmlformats.org/officeDocument/2006/customXml" ds:itemID="{AF5C227B-6294-48CE-AEA0-ACBA9E681DD0}"/>
</file>

<file path=customXml/itemProps3.xml><?xml version="1.0" encoding="utf-8"?>
<ds:datastoreItem xmlns:ds="http://schemas.openxmlformats.org/officeDocument/2006/customXml" ds:itemID="{2B6D1C0F-F548-4E7D-91FD-D9BCED829E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los Arcos</dc:creator>
  <cp:keywords/>
  <dc:description/>
  <cp:lastModifiedBy>Agustina Galvalisi</cp:lastModifiedBy>
  <cp:revision/>
  <dcterms:created xsi:type="dcterms:W3CDTF">2006-11-22T19:14:30Z</dcterms:created>
  <dcterms:modified xsi:type="dcterms:W3CDTF">2025-09-23T16:06:55Z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0x01010053B755E73B090C40A88DB86340752691</vt:lpwstr>
  </property>
</Properties>
</file>